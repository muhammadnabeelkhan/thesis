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44525" iterate="1" iterateCount="1" iterateDelta="0.001"/>
</workbook>
</file>

<file path=xl/sharedStrings.xml><?xml version="1.0" encoding="utf-8"?>
<sst xmlns="http://schemas.openxmlformats.org/spreadsheetml/2006/main" count="124" uniqueCount="68">
  <si>
    <t>TOTAL COST OF THE RESEARCH PROJECT</t>
  </si>
  <si>
    <t>Title of the Project:</t>
  </si>
  <si>
    <t>"FORECASTING OF SOIL BASED ON ITS TEXTURE USING SATELLITE IMAGERY"</t>
  </si>
  <si>
    <t>Name of Principal Investigator:</t>
  </si>
  <si>
    <t>Dr HUMERA TARIQ</t>
  </si>
  <si>
    <t>CODE</t>
  </si>
  <si>
    <t>OBJECT</t>
  </si>
  <si>
    <t>FIXED COST(ONE TIME COST) In Rs</t>
  </si>
  <si>
    <t>MONTHLY COST In Rs</t>
  </si>
  <si>
    <t>TRI YEAR COST            (TOTAL COST OF PROJECT In Rs) INCLUDES FIXED AND MONTLY COST</t>
  </si>
  <si>
    <t>A. DNN SERVER MACHINE EXPENSES</t>
  </si>
  <si>
    <t>COMPONENT</t>
  </si>
  <si>
    <t>CONFRIGRATION</t>
  </si>
  <si>
    <t>CPU</t>
  </si>
  <si>
    <t>Intel® Core™ i5-7400 Processor (6M Cache, up to 3.50 GHz)</t>
  </si>
  <si>
    <t xml:space="preserve"> </t>
  </si>
  <si>
    <t>Hard Drive</t>
  </si>
  <si>
    <t>Hard drive : SSD 256 GB (old) or  120GB GB (new)</t>
  </si>
  <si>
    <t>Hard drive : Western Digital 2TB 3.5" SATA HARD DRIVE</t>
  </si>
  <si>
    <t>GPU</t>
  </si>
  <si>
    <t>Gigabyte AORUS GeForce GTX 1080 Ti Xtreme Edition (GV-N108TAORUS X-11GD)</t>
  </si>
  <si>
    <t>PSU</t>
  </si>
  <si>
    <t>CS Series™ Modular CS650M — 650 Watt 80 PLUS® Gold Certified PSU (CP-9020077-NA)</t>
  </si>
  <si>
    <t>RAM</t>
  </si>
  <si>
    <t>Corsair Vengeance LPX DDR4 32GB 2400 Bus (16x2)</t>
  </si>
  <si>
    <t>MotherBoard</t>
  </si>
  <si>
    <t>ASUS ROG STRIX B250H GAMING LGA1151 DDR4 ATX Motherboard</t>
  </si>
  <si>
    <t>UPS</t>
  </si>
  <si>
    <t>Intex Misson 1500va/900Watts (Short Backup - With Battery)</t>
  </si>
  <si>
    <t>Casing</t>
  </si>
  <si>
    <t>GIGABYTE Casing Luxo M30</t>
  </si>
  <si>
    <t>LCD 24” [Used]</t>
  </si>
  <si>
    <t>Mouse + Keyboard</t>
  </si>
  <si>
    <t>Network</t>
  </si>
  <si>
    <t>TPLink Wireless router</t>
  </si>
  <si>
    <t>Sub Total (A)</t>
  </si>
  <si>
    <t>B. PROJECT STAFF EXPENSES</t>
  </si>
  <si>
    <t>A01273a</t>
  </si>
  <si>
    <t>Remuneration/Honorarium to Principal Investigator</t>
  </si>
  <si>
    <t>A01273b</t>
  </si>
  <si>
    <t>Remuneration/Honorarium to Co Prinpal Investegator</t>
  </si>
  <si>
    <t>Remuneration/Honorarium to First Research Associate(To be recruited)</t>
  </si>
  <si>
    <t>Remuneration/Honorarium to Second Research Associate(To be recruited)</t>
  </si>
  <si>
    <t>Remuneration/Honorarium to Research Asistant(To be recruited)</t>
  </si>
  <si>
    <t>A01277</t>
  </si>
  <si>
    <t>Contingent Paid Staff</t>
  </si>
  <si>
    <t>Sub Total (B)</t>
  </si>
  <si>
    <t>36 X 292,000=</t>
  </si>
  <si>
    <t>C. OPERATIONAL EXPENSES</t>
  </si>
  <si>
    <t>A03201</t>
  </si>
  <si>
    <t>Postage &amp; Telegram</t>
  </si>
  <si>
    <t>A03202</t>
  </si>
  <si>
    <t>Telephone &amp; Trunk Calls</t>
  </si>
  <si>
    <t>A03805</t>
  </si>
  <si>
    <t>Travelling Allowance</t>
  </si>
  <si>
    <t>A03901</t>
  </si>
  <si>
    <t>Stationary</t>
  </si>
  <si>
    <t>A03902</t>
  </si>
  <si>
    <t>Printing &amp; Publication</t>
  </si>
  <si>
    <t>A03903</t>
  </si>
  <si>
    <t>Seminar/Workshop/Symposia</t>
  </si>
  <si>
    <t xml:space="preserve">                                                                        Sub Total (C)</t>
  </si>
  <si>
    <t>36 X 8,900=</t>
  </si>
  <si>
    <t xml:space="preserve">D.  INFRASTRUCTURE EXPENSES </t>
  </si>
  <si>
    <t>A09701</t>
  </si>
  <si>
    <t>Purchase of  Furniture &amp; Fixture</t>
  </si>
  <si>
    <t>Sub Total (D)</t>
  </si>
  <si>
    <t>GRAND TOTAL (A+B+C+D)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</si>
</sst>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43" formatCode="_-* #,##0.00_-;\-* #,##0.00_-;_-* &quot;-&quot;??_-;_-@_-"/>
    <numFmt numFmtId="176" formatCode="_-* #,##0_-;\-* #,##0_-;_-* &quot;-&quot;??_-;_-@_-"/>
  </numFmts>
  <fonts count="33">
    <font>
      <sz val="11"/>
      <color theme="1"/>
      <name val="Calibri"/>
      <charset val="134"/>
      <scheme val="minor"/>
    </font>
    <font>
      <b/>
      <sz val="18"/>
      <name val="Times New Roman"/>
      <charset val="0"/>
    </font>
    <font>
      <b/>
      <sz val="12"/>
      <name val="Times New Roman"/>
      <charset val="0"/>
    </font>
    <font>
      <b/>
      <sz val="16"/>
      <name val="Times New Roman"/>
      <charset val="0"/>
    </font>
    <font>
      <sz val="14"/>
      <name val="Times New Roman"/>
      <charset val="0"/>
    </font>
    <font>
      <b/>
      <sz val="14"/>
      <name val="Times New Roman"/>
      <charset val="0"/>
    </font>
    <font>
      <sz val="14"/>
      <name val="Arial"/>
      <charset val="0"/>
    </font>
    <font>
      <b/>
      <sz val="14"/>
      <color rgb="FFFF0000"/>
      <name val="Times New Roman"/>
      <charset val="0"/>
    </font>
    <font>
      <sz val="14"/>
      <color rgb="FFFF0000"/>
      <name val="Arial"/>
      <charset val="0"/>
    </font>
    <font>
      <sz val="14"/>
      <color theme="1"/>
      <name val="Calibri"/>
      <charset val="134"/>
      <scheme val="minor"/>
    </font>
    <font>
      <b/>
      <i/>
      <sz val="14"/>
      <name val="Times New Roman"/>
      <charset val="0"/>
    </font>
    <font>
      <sz val="14"/>
      <color rgb="FFFF0000"/>
      <name val="Times New Roman"/>
      <charset val="0"/>
    </font>
    <font>
      <b/>
      <sz val="14"/>
      <color rgb="FF7030A0"/>
      <name val="Times New Roman"/>
      <charset val="0"/>
    </font>
    <font>
      <b/>
      <sz val="16"/>
      <color rgb="FF7030A0"/>
      <name val="Times New Roman"/>
      <charset val="0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0" fillId="19" borderId="1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27" borderId="16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1" fillId="15" borderId="20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4" fillId="15" borderId="16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top" wrapText="1"/>
    </xf>
    <xf numFmtId="0" fontId="6" fillId="0" borderId="5" xfId="0" applyFont="1" applyFill="1" applyBorder="1" applyAlignment="1" applyProtection="1"/>
    <xf numFmtId="0" fontId="7" fillId="2" borderId="6" xfId="0" applyFont="1" applyFill="1" applyBorder="1" applyAlignment="1"/>
    <xf numFmtId="0" fontId="8" fillId="0" borderId="6" xfId="0" applyFont="1" applyFill="1" applyBorder="1" applyAlignment="1" applyProtection="1"/>
    <xf numFmtId="176" fontId="5" fillId="2" borderId="7" xfId="2" applyNumberFormat="1" applyFont="1" applyFill="1" applyBorder="1" applyAlignment="1" applyProtection="1">
      <alignment horizontal="right" wrapText="1" indent="1"/>
      <protection locked="0"/>
    </xf>
    <xf numFmtId="0" fontId="6" fillId="0" borderId="7" xfId="0" applyFont="1" applyFill="1" applyBorder="1" applyAlignment="1" applyProtection="1"/>
    <xf numFmtId="0" fontId="2" fillId="2" borderId="7" xfId="0" applyFont="1" applyFill="1" applyBorder="1" applyAlignment="1"/>
    <xf numFmtId="0" fontId="2" fillId="0" borderId="8" xfId="0" applyFont="1" applyFill="1" applyBorder="1" applyAlignment="1" applyProtection="1"/>
    <xf numFmtId="0" fontId="9" fillId="0" borderId="0" xfId="0" applyFont="1">
      <alignment vertical="center"/>
    </xf>
    <xf numFmtId="0" fontId="9" fillId="0" borderId="9" xfId="0" applyFont="1" applyFill="1" applyBorder="1" applyAlignment="1"/>
    <xf numFmtId="0" fontId="5" fillId="0" borderId="0" xfId="0" applyFont="1" applyFill="1" applyBorder="1" applyAlignment="1" applyProtection="1">
      <alignment horizontal="center" vertical="center" wrapText="1"/>
    </xf>
    <xf numFmtId="4" fontId="9" fillId="0" borderId="7" xfId="0" applyNumberFormat="1" applyFont="1" applyFill="1" applyBorder="1" applyAlignment="1">
      <alignment horizontal="center"/>
    </xf>
    <xf numFmtId="0" fontId="9" fillId="0" borderId="7" xfId="0" applyFont="1" applyFill="1" applyBorder="1" applyAlignment="1"/>
    <xf numFmtId="3" fontId="9" fillId="0" borderId="7" xfId="0" applyNumberFormat="1" applyFont="1" applyFill="1" applyBorder="1" applyAlignment="1">
      <alignment horizontal="center"/>
    </xf>
    <xf numFmtId="0" fontId="5" fillId="0" borderId="6" xfId="0" applyFont="1" applyFill="1" applyBorder="1" applyAlignment="1" applyProtection="1">
      <alignment horizontal="center" vertical="center" wrapText="1"/>
    </xf>
    <xf numFmtId="0" fontId="9" fillId="0" borderId="5" xfId="0" applyFont="1" applyFill="1" applyBorder="1" applyAlignment="1"/>
    <xf numFmtId="0" fontId="4" fillId="0" borderId="6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/>
    <xf numFmtId="0" fontId="5" fillId="0" borderId="3" xfId="0" applyFont="1" applyFill="1" applyBorder="1" applyAlignment="1">
      <alignment horizontal="right"/>
    </xf>
    <xf numFmtId="0" fontId="4" fillId="2" borderId="3" xfId="0" applyFont="1" applyFill="1" applyBorder="1" applyAlignment="1"/>
    <xf numFmtId="0" fontId="7" fillId="0" borderId="4" xfId="0" applyFont="1" applyFill="1" applyBorder="1" applyAlignment="1">
      <alignment horizontal="right"/>
    </xf>
    <xf numFmtId="176" fontId="7" fillId="3" borderId="4" xfId="2" applyNumberFormat="1" applyFont="1" applyFill="1" applyBorder="1" applyAlignment="1" applyProtection="1">
      <alignment horizontal="right" wrapText="1"/>
    </xf>
    <xf numFmtId="0" fontId="10" fillId="0" borderId="2" xfId="0" applyFont="1" applyFill="1" applyBorder="1" applyAlignment="1" applyProtection="1">
      <alignment horizontal="center" vertical="center" wrapText="1"/>
    </xf>
    <xf numFmtId="176" fontId="4" fillId="2" borderId="6" xfId="2" applyNumberFormat="1" applyFont="1" applyFill="1" applyBorder="1" applyAlignment="1" applyProtection="1">
      <alignment horizontal="right" wrapText="1" indent="1"/>
      <protection locked="0"/>
    </xf>
    <xf numFmtId="0" fontId="5" fillId="0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4" fillId="0" borderId="12" xfId="0" applyFont="1" applyFill="1" applyBorder="1" applyAlignment="1">
      <alignment horizontal="left"/>
    </xf>
    <xf numFmtId="176" fontId="4" fillId="2" borderId="7" xfId="2" applyNumberFormat="1" applyFont="1" applyFill="1" applyBorder="1" applyAlignment="1" applyProtection="1">
      <alignment horizontal="right" wrapText="1"/>
      <protection locked="0"/>
    </xf>
    <xf numFmtId="0" fontId="5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176" fontId="4" fillId="3" borderId="4" xfId="2" applyNumberFormat="1" applyFont="1" applyFill="1" applyBorder="1" applyAlignment="1" applyProtection="1">
      <alignment horizontal="right" wrapText="1"/>
    </xf>
    <xf numFmtId="176" fontId="4" fillId="3" borderId="3" xfId="2" applyNumberFormat="1" applyFont="1" applyFill="1" applyBorder="1" applyAlignment="1" applyProtection="1">
      <alignment horizontal="right" wrapText="1"/>
    </xf>
    <xf numFmtId="176" fontId="7" fillId="3" borderId="3" xfId="2" applyNumberFormat="1" applyFont="1" applyFill="1" applyBorder="1" applyAlignment="1" applyProtection="1">
      <alignment horizontal="right" wrapText="1"/>
    </xf>
    <xf numFmtId="0" fontId="4" fillId="2" borderId="5" xfId="0" applyFont="1" applyFill="1" applyBorder="1" applyAlignment="1"/>
    <xf numFmtId="0" fontId="7" fillId="2" borderId="3" xfId="0" applyFont="1" applyFill="1" applyBorder="1" applyAlignment="1"/>
    <xf numFmtId="0" fontId="6" fillId="0" borderId="6" xfId="0" applyFont="1" applyFill="1" applyBorder="1" applyAlignment="1"/>
    <xf numFmtId="0" fontId="6" fillId="0" borderId="8" xfId="0" applyFont="1" applyFill="1" applyBorder="1" applyAlignment="1"/>
    <xf numFmtId="0" fontId="10" fillId="2" borderId="3" xfId="0" applyFont="1" applyFill="1" applyBorder="1" applyAlignment="1"/>
    <xf numFmtId="176" fontId="4" fillId="3" borderId="1" xfId="2" applyNumberFormat="1" applyFont="1" applyFill="1" applyBorder="1" applyAlignment="1" applyProtection="1">
      <alignment horizontal="right" wrapText="1"/>
    </xf>
    <xf numFmtId="176" fontId="7" fillId="3" borderId="1" xfId="2" applyNumberFormat="1" applyFont="1" applyFill="1" applyBorder="1" applyAlignment="1" applyProtection="1">
      <alignment horizontal="right" wrapText="1"/>
    </xf>
    <xf numFmtId="0" fontId="11" fillId="2" borderId="3" xfId="0" applyFont="1" applyFill="1" applyBorder="1" applyAlignment="1"/>
    <xf numFmtId="0" fontId="7" fillId="0" borderId="5" xfId="0" applyFont="1" applyFill="1" applyBorder="1" applyAlignment="1">
      <alignment horizontal="right"/>
    </xf>
    <xf numFmtId="0" fontId="8" fillId="0" borderId="6" xfId="0" applyFont="1" applyFill="1" applyBorder="1" applyAlignment="1"/>
    <xf numFmtId="0" fontId="8" fillId="0" borderId="8" xfId="0" applyFont="1" applyFill="1" applyBorder="1" applyAlignment="1"/>
    <xf numFmtId="176" fontId="7" fillId="3" borderId="8" xfId="2" applyNumberFormat="1" applyFont="1" applyFill="1" applyBorder="1" applyAlignment="1" applyProtection="1">
      <alignment horizontal="right" wrapText="1" indent="1"/>
    </xf>
    <xf numFmtId="0" fontId="5" fillId="0" borderId="8" xfId="0" applyFont="1" applyFill="1" applyBorder="1" applyAlignment="1">
      <alignment horizontal="right"/>
    </xf>
    <xf numFmtId="0" fontId="12" fillId="0" borderId="8" xfId="0" applyFont="1" applyFill="1" applyBorder="1" applyAlignment="1">
      <alignment horizontal="right"/>
    </xf>
    <xf numFmtId="176" fontId="13" fillId="3" borderId="7" xfId="2" applyNumberFormat="1" applyFont="1" applyFill="1" applyBorder="1" applyAlignment="1" applyProtection="1">
      <alignment horizontal="righ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6"/>
  <sheetViews>
    <sheetView tabSelected="1" workbookViewId="0">
      <selection activeCell="B1" sqref="B1"/>
    </sheetView>
  </sheetViews>
  <sheetFormatPr defaultColWidth="9.14285714285714" defaultRowHeight="15" outlineLevelCol="6"/>
  <cols>
    <col min="1" max="1" width="12.8571428571429" customWidth="1"/>
    <col min="2" max="2" width="20.2857142857143" customWidth="1"/>
    <col min="3" max="3" width="29.7142857142857" customWidth="1"/>
    <col min="4" max="4" width="49" customWidth="1"/>
    <col min="5" max="5" width="23" customWidth="1"/>
    <col min="6" max="6" width="17" customWidth="1"/>
    <col min="7" max="7" width="29.4285714285714" customWidth="1"/>
  </cols>
  <sheetData>
    <row r="2" ht="22.5" spans="1:7">
      <c r="A2" s="1" t="s">
        <v>0</v>
      </c>
      <c r="B2" s="1"/>
      <c r="C2" s="1"/>
      <c r="D2" s="1"/>
      <c r="E2" s="1"/>
      <c r="F2" s="1"/>
      <c r="G2" s="1"/>
    </row>
    <row r="3" ht="15.75" spans="1:7">
      <c r="A3" s="2"/>
      <c r="B3" s="2"/>
      <c r="C3" s="2"/>
      <c r="D3" s="2"/>
      <c r="E3" s="2"/>
      <c r="F3" s="2"/>
      <c r="G3" s="2"/>
    </row>
    <row r="4" ht="20.25" spans="1:7">
      <c r="A4" s="3" t="s">
        <v>1</v>
      </c>
      <c r="B4" s="3"/>
      <c r="C4" s="4" t="s">
        <v>2</v>
      </c>
      <c r="D4" s="5"/>
      <c r="E4" s="5"/>
      <c r="F4" s="5"/>
      <c r="G4" s="5"/>
    </row>
    <row r="5" ht="20.25" spans="1:7">
      <c r="A5" s="3" t="s">
        <v>3</v>
      </c>
      <c r="B5" s="3"/>
      <c r="C5" s="4" t="s">
        <v>4</v>
      </c>
      <c r="D5" s="5"/>
      <c r="E5" s="5"/>
      <c r="F5" s="5"/>
      <c r="G5" s="5"/>
    </row>
    <row r="7" ht="93.75" spans="1:7">
      <c r="A7" s="6" t="s">
        <v>5</v>
      </c>
      <c r="B7" s="7" t="s">
        <v>6</v>
      </c>
      <c r="C7" s="8"/>
      <c r="D7" s="9"/>
      <c r="E7" s="10" t="s">
        <v>7</v>
      </c>
      <c r="F7" s="10" t="s">
        <v>8</v>
      </c>
      <c r="G7" s="10" t="s">
        <v>9</v>
      </c>
    </row>
    <row r="8" ht="18.75" spans="1:7">
      <c r="A8" s="11"/>
      <c r="B8" s="12" t="s">
        <v>10</v>
      </c>
      <c r="C8" s="13"/>
      <c r="D8" s="13"/>
      <c r="E8" s="14"/>
      <c r="F8" s="14"/>
      <c r="G8" s="14"/>
    </row>
    <row r="9" ht="18.75" spans="1:7">
      <c r="A9" s="15"/>
      <c r="B9" s="16" t="s">
        <v>11</v>
      </c>
      <c r="C9" s="11"/>
      <c r="D9" s="17" t="s">
        <v>12</v>
      </c>
      <c r="E9" s="14"/>
      <c r="F9" s="14"/>
      <c r="G9" s="14"/>
    </row>
    <row r="10" ht="18.75" spans="1:7">
      <c r="A10" s="18"/>
      <c r="B10" s="19" t="s">
        <v>13</v>
      </c>
      <c r="C10" s="19" t="s">
        <v>14</v>
      </c>
      <c r="D10" s="20"/>
      <c r="E10" s="21">
        <v>21800</v>
      </c>
      <c r="F10" s="21" t="s">
        <v>15</v>
      </c>
      <c r="G10" s="21" t="s">
        <v>15</v>
      </c>
    </row>
    <row r="11" ht="18.75" spans="1:7">
      <c r="A11" s="18"/>
      <c r="B11" s="22" t="s">
        <v>16</v>
      </c>
      <c r="C11" s="22" t="s">
        <v>17</v>
      </c>
      <c r="D11" s="8"/>
      <c r="E11" s="23">
        <v>7000</v>
      </c>
      <c r="F11" s="23" t="s">
        <v>15</v>
      </c>
      <c r="G11" s="23" t="s">
        <v>15</v>
      </c>
    </row>
    <row r="12" ht="18.75" spans="1:7">
      <c r="A12" s="18"/>
      <c r="B12" s="22" t="s">
        <v>16</v>
      </c>
      <c r="C12" s="22" t="s">
        <v>18</v>
      </c>
      <c r="D12" s="8"/>
      <c r="E12" s="23">
        <v>7800</v>
      </c>
      <c r="F12" s="23" t="s">
        <v>15</v>
      </c>
      <c r="G12" s="23" t="s">
        <v>15</v>
      </c>
    </row>
    <row r="13" ht="18.75" spans="1:7">
      <c r="A13" s="18"/>
      <c r="B13" s="22" t="s">
        <v>19</v>
      </c>
      <c r="C13" s="22" t="s">
        <v>20</v>
      </c>
      <c r="D13" s="8"/>
      <c r="E13" s="21">
        <v>101500</v>
      </c>
      <c r="F13" s="21" t="s">
        <v>15</v>
      </c>
      <c r="G13" s="21" t="s">
        <v>15</v>
      </c>
    </row>
    <row r="14" ht="18.75" spans="1:7">
      <c r="A14" s="18"/>
      <c r="B14" s="22" t="s">
        <v>21</v>
      </c>
      <c r="C14" s="22" t="s">
        <v>22</v>
      </c>
      <c r="D14" s="8"/>
      <c r="E14" s="21">
        <v>11900</v>
      </c>
      <c r="F14" s="21" t="s">
        <v>15</v>
      </c>
      <c r="G14" s="21" t="s">
        <v>15</v>
      </c>
    </row>
    <row r="15" ht="18.75" spans="1:7">
      <c r="A15" s="18"/>
      <c r="B15" s="22" t="s">
        <v>23</v>
      </c>
      <c r="C15" s="22" t="s">
        <v>24</v>
      </c>
      <c r="D15" s="8"/>
      <c r="E15" s="23">
        <v>27200</v>
      </c>
      <c r="F15" s="23" t="s">
        <v>15</v>
      </c>
      <c r="G15" s="23" t="s">
        <v>15</v>
      </c>
    </row>
    <row r="16" ht="18.75" spans="1:7">
      <c r="A16" s="18"/>
      <c r="B16" s="22" t="s">
        <v>25</v>
      </c>
      <c r="C16" s="22" t="s">
        <v>26</v>
      </c>
      <c r="D16" s="8"/>
      <c r="E16" s="21">
        <v>12800</v>
      </c>
      <c r="F16" s="21" t="s">
        <v>15</v>
      </c>
      <c r="G16" s="21" t="s">
        <v>15</v>
      </c>
    </row>
    <row r="17" ht="18.75" spans="1:7">
      <c r="A17" s="18"/>
      <c r="B17" s="22" t="s">
        <v>27</v>
      </c>
      <c r="C17" s="22" t="s">
        <v>28</v>
      </c>
      <c r="D17" s="24"/>
      <c r="E17" s="23">
        <v>16500</v>
      </c>
      <c r="F17" s="23" t="s">
        <v>15</v>
      </c>
      <c r="G17" s="23" t="s">
        <v>15</v>
      </c>
    </row>
    <row r="18" ht="18.75" spans="1:7">
      <c r="A18" s="18"/>
      <c r="B18" s="22" t="s">
        <v>29</v>
      </c>
      <c r="C18" s="25" t="s">
        <v>30</v>
      </c>
      <c r="D18" s="26"/>
      <c r="E18" s="21">
        <v>8200</v>
      </c>
      <c r="F18" s="21" t="s">
        <v>15</v>
      </c>
      <c r="G18" s="21" t="s">
        <v>15</v>
      </c>
    </row>
    <row r="19" ht="18.75" spans="1:7">
      <c r="A19" s="18"/>
      <c r="B19" s="22"/>
      <c r="C19" s="25" t="s">
        <v>31</v>
      </c>
      <c r="D19" s="27"/>
      <c r="E19" s="23">
        <v>6500</v>
      </c>
      <c r="F19" s="23" t="s">
        <v>15</v>
      </c>
      <c r="G19" s="23" t="s">
        <v>15</v>
      </c>
    </row>
    <row r="20" ht="18.75" spans="1:7">
      <c r="A20" s="18"/>
      <c r="B20" s="22"/>
      <c r="C20" s="25" t="s">
        <v>32</v>
      </c>
      <c r="D20" s="27"/>
      <c r="E20" s="23">
        <v>1000</v>
      </c>
      <c r="F20" s="23" t="s">
        <v>15</v>
      </c>
      <c r="G20" s="23" t="s">
        <v>15</v>
      </c>
    </row>
    <row r="21" ht="18.75" spans="1:7">
      <c r="A21" s="18"/>
      <c r="B21" s="22" t="s">
        <v>33</v>
      </c>
      <c r="C21" s="25" t="s">
        <v>34</v>
      </c>
      <c r="D21" s="27"/>
      <c r="E21" s="23">
        <v>1500</v>
      </c>
      <c r="F21" s="23" t="s">
        <v>15</v>
      </c>
      <c r="G21" s="23" t="s">
        <v>15</v>
      </c>
    </row>
    <row r="22" ht="18.75" spans="1:7">
      <c r="A22" s="28"/>
      <c r="B22" s="29"/>
      <c r="C22" s="30"/>
      <c r="D22" s="31" t="s">
        <v>35</v>
      </c>
      <c r="E22" s="32">
        <f t="shared" ref="E22:G22" si="0">SUM(E13:E21)</f>
        <v>187100</v>
      </c>
      <c r="F22" s="32" t="s">
        <v>15</v>
      </c>
      <c r="G22" s="32">
        <v>187100</v>
      </c>
    </row>
    <row r="23" ht="18.75" spans="1:7">
      <c r="A23" s="33"/>
      <c r="B23" s="8"/>
      <c r="C23" s="8"/>
      <c r="D23" s="8"/>
      <c r="E23" s="10"/>
      <c r="F23" s="10"/>
      <c r="G23" s="10"/>
    </row>
    <row r="24" ht="18.75" spans="1:7">
      <c r="A24" s="11"/>
      <c r="B24" s="12" t="s">
        <v>36</v>
      </c>
      <c r="C24" s="13"/>
      <c r="D24" s="13"/>
      <c r="E24" s="34"/>
      <c r="F24" s="34"/>
      <c r="G24" s="34"/>
    </row>
    <row r="25" ht="18.75" spans="1:7">
      <c r="A25" s="35" t="s">
        <v>37</v>
      </c>
      <c r="B25" s="36" t="s">
        <v>38</v>
      </c>
      <c r="C25" s="37"/>
      <c r="D25" s="38"/>
      <c r="E25" s="39" t="s">
        <v>15</v>
      </c>
      <c r="F25" s="39">
        <v>75000</v>
      </c>
      <c r="G25" s="39" t="s">
        <v>15</v>
      </c>
    </row>
    <row r="26" ht="18.75" spans="1:7">
      <c r="A26" s="40" t="s">
        <v>39</v>
      </c>
      <c r="B26" s="41" t="s">
        <v>40</v>
      </c>
      <c r="C26" s="42"/>
      <c r="D26" s="43"/>
      <c r="E26" s="39" t="s">
        <v>15</v>
      </c>
      <c r="F26" s="39">
        <v>70000</v>
      </c>
      <c r="G26" s="39" t="s">
        <v>15</v>
      </c>
    </row>
    <row r="27" ht="18.75" spans="1:7">
      <c r="A27" s="35" t="s">
        <v>37</v>
      </c>
      <c r="B27" s="41" t="s">
        <v>41</v>
      </c>
      <c r="C27" s="42"/>
      <c r="D27" s="43"/>
      <c r="E27" s="39" t="s">
        <v>15</v>
      </c>
      <c r="F27" s="39">
        <v>45000</v>
      </c>
      <c r="G27" s="39" t="s">
        <v>15</v>
      </c>
    </row>
    <row r="28" ht="18.75" spans="1:7">
      <c r="A28" s="35" t="s">
        <v>37</v>
      </c>
      <c r="B28" s="41" t="s">
        <v>42</v>
      </c>
      <c r="C28" s="42"/>
      <c r="D28" s="43"/>
      <c r="E28" s="39" t="s">
        <v>15</v>
      </c>
      <c r="F28" s="39">
        <v>45000</v>
      </c>
      <c r="G28" s="39" t="s">
        <v>15</v>
      </c>
    </row>
    <row r="29" ht="18.75" spans="1:7">
      <c r="A29" s="35" t="s">
        <v>37</v>
      </c>
      <c r="B29" s="41" t="s">
        <v>43</v>
      </c>
      <c r="C29" s="42"/>
      <c r="D29" s="43"/>
      <c r="E29" s="39" t="s">
        <v>15</v>
      </c>
      <c r="F29" s="39">
        <v>35000</v>
      </c>
      <c r="G29" s="39" t="s">
        <v>15</v>
      </c>
    </row>
    <row r="30" ht="18.75" spans="1:7">
      <c r="A30" s="40" t="s">
        <v>44</v>
      </c>
      <c r="B30" s="41" t="s">
        <v>45</v>
      </c>
      <c r="C30" s="42"/>
      <c r="D30" s="43"/>
      <c r="E30" s="39" t="s">
        <v>15</v>
      </c>
      <c r="F30" s="39">
        <v>22000</v>
      </c>
      <c r="G30" s="39" t="s">
        <v>15</v>
      </c>
    </row>
    <row r="31" ht="18.75" spans="1:7">
      <c r="A31" s="28"/>
      <c r="B31" s="29"/>
      <c r="C31" s="30"/>
      <c r="D31" s="31" t="s">
        <v>46</v>
      </c>
      <c r="E31" s="44" t="s">
        <v>15</v>
      </c>
      <c r="F31" s="32">
        <f>SUM(F25:F30)</f>
        <v>292000</v>
      </c>
      <c r="G31" s="32" t="s">
        <v>47</v>
      </c>
    </row>
    <row r="32" ht="18.75" spans="1:7">
      <c r="A32" s="28"/>
      <c r="B32" s="29"/>
      <c r="C32" s="30"/>
      <c r="D32" s="29"/>
      <c r="E32" s="45"/>
      <c r="F32" s="46"/>
      <c r="G32" s="46">
        <v>10512000</v>
      </c>
    </row>
    <row r="33" ht="18.75" spans="1:7">
      <c r="A33" s="47"/>
      <c r="B33" s="48" t="s">
        <v>48</v>
      </c>
      <c r="C33" s="48"/>
      <c r="D33" s="48"/>
      <c r="E33" s="34"/>
      <c r="F33" s="34"/>
      <c r="G33" s="34"/>
    </row>
    <row r="34" ht="18.75" spans="1:7">
      <c r="A34" s="40" t="s">
        <v>49</v>
      </c>
      <c r="B34" s="41" t="s">
        <v>50</v>
      </c>
      <c r="C34" s="49"/>
      <c r="D34" s="50"/>
      <c r="E34" s="39" t="s">
        <v>15</v>
      </c>
      <c r="F34" s="39">
        <v>800</v>
      </c>
      <c r="G34" s="39" t="s">
        <v>15</v>
      </c>
    </row>
    <row r="35" ht="18.75" spans="1:7">
      <c r="A35" s="40" t="s">
        <v>51</v>
      </c>
      <c r="B35" s="41" t="s">
        <v>52</v>
      </c>
      <c r="C35" s="49"/>
      <c r="D35" s="50"/>
      <c r="E35" s="39" t="s">
        <v>15</v>
      </c>
      <c r="F35" s="39">
        <v>2000</v>
      </c>
      <c r="G35" s="39" t="s">
        <v>15</v>
      </c>
    </row>
    <row r="36" ht="18.75" spans="1:7">
      <c r="A36" s="40" t="s">
        <v>53</v>
      </c>
      <c r="B36" s="41" t="s">
        <v>54</v>
      </c>
      <c r="C36" s="49"/>
      <c r="D36" s="50"/>
      <c r="E36" s="39" t="s">
        <v>15</v>
      </c>
      <c r="F36" s="39">
        <v>3000</v>
      </c>
      <c r="G36" s="39" t="s">
        <v>15</v>
      </c>
    </row>
    <row r="37" ht="18.75" spans="1:7">
      <c r="A37" s="40" t="s">
        <v>55</v>
      </c>
      <c r="B37" s="41" t="s">
        <v>56</v>
      </c>
      <c r="C37" s="49"/>
      <c r="D37" s="50"/>
      <c r="E37" s="39" t="s">
        <v>15</v>
      </c>
      <c r="F37" s="39">
        <v>300</v>
      </c>
      <c r="G37" s="39" t="s">
        <v>15</v>
      </c>
    </row>
    <row r="38" ht="18.75" spans="1:7">
      <c r="A38" s="40" t="s">
        <v>57</v>
      </c>
      <c r="B38" s="41" t="s">
        <v>58</v>
      </c>
      <c r="C38" s="49"/>
      <c r="D38" s="50"/>
      <c r="E38" s="39" t="s">
        <v>15</v>
      </c>
      <c r="F38" s="39">
        <v>800</v>
      </c>
      <c r="G38" s="39" t="s">
        <v>15</v>
      </c>
    </row>
    <row r="39" ht="18.75" spans="1:7">
      <c r="A39" s="40" t="s">
        <v>59</v>
      </c>
      <c r="B39" s="41" t="s">
        <v>60</v>
      </c>
      <c r="C39" s="49"/>
      <c r="D39" s="50"/>
      <c r="E39" s="39" t="s">
        <v>15</v>
      </c>
      <c r="F39" s="39">
        <v>2000</v>
      </c>
      <c r="G39" s="39" t="s">
        <v>15</v>
      </c>
    </row>
    <row r="40" ht="18.75" spans="1:7">
      <c r="A40" s="47"/>
      <c r="B40" s="29"/>
      <c r="C40" s="51"/>
      <c r="D40" s="31" t="s">
        <v>61</v>
      </c>
      <c r="E40" s="52" t="s">
        <v>15</v>
      </c>
      <c r="F40" s="53">
        <f t="shared" ref="E40:G40" si="1">SUM(F34:F39)</f>
        <v>8900</v>
      </c>
      <c r="G40" s="53" t="s">
        <v>62</v>
      </c>
    </row>
    <row r="41" ht="18.75" spans="1:7">
      <c r="A41" s="47"/>
      <c r="B41" s="29"/>
      <c r="C41" s="30"/>
      <c r="D41" s="29"/>
      <c r="E41" s="45"/>
      <c r="F41" s="46"/>
      <c r="G41" s="46">
        <v>320400</v>
      </c>
    </row>
    <row r="42" ht="18.75" spans="1:7">
      <c r="A42" s="47"/>
      <c r="B42" s="48" t="s">
        <v>63</v>
      </c>
      <c r="C42" s="54"/>
      <c r="D42" s="54"/>
      <c r="E42" s="34"/>
      <c r="F42" s="34"/>
      <c r="G42" s="34"/>
    </row>
    <row r="43" ht="18.75" spans="1:7">
      <c r="A43" s="40" t="s">
        <v>64</v>
      </c>
      <c r="B43" s="41" t="s">
        <v>65</v>
      </c>
      <c r="C43" s="49"/>
      <c r="D43" s="50"/>
      <c r="E43" s="39">
        <v>50000</v>
      </c>
      <c r="F43" s="39" t="s">
        <v>15</v>
      </c>
      <c r="G43" s="39" t="s">
        <v>15</v>
      </c>
    </row>
    <row r="44" ht="18.75" spans="1:7">
      <c r="A44" s="55" t="s">
        <v>66</v>
      </c>
      <c r="B44" s="56"/>
      <c r="C44" s="56"/>
      <c r="D44" s="57"/>
      <c r="E44" s="58">
        <f t="shared" ref="E44:G44" si="2">SUM(E43:E43)</f>
        <v>50000</v>
      </c>
      <c r="F44" s="58"/>
      <c r="G44" s="58">
        <v>50000</v>
      </c>
    </row>
    <row r="45" ht="18.75" spans="1:7">
      <c r="A45" s="18"/>
      <c r="B45" s="18"/>
      <c r="C45" s="18"/>
      <c r="D45" s="18"/>
      <c r="E45" s="18"/>
      <c r="F45" s="18"/>
      <c r="G45" s="18"/>
    </row>
    <row r="46" ht="20.25" spans="1:7">
      <c r="A46" s="47"/>
      <c r="B46" s="59"/>
      <c r="C46" s="47"/>
      <c r="D46" s="60" t="s">
        <v>67</v>
      </c>
      <c r="E46" s="61">
        <v>237100</v>
      </c>
      <c r="F46" s="61">
        <v>300900</v>
      </c>
      <c r="G46" s="61">
        <v>11019500</v>
      </c>
    </row>
  </sheetData>
  <mergeCells count="13">
    <mergeCell ref="A2:G2"/>
    <mergeCell ref="A3:G3"/>
    <mergeCell ref="C4:G4"/>
    <mergeCell ref="C5:G5"/>
    <mergeCell ref="B7:D7"/>
    <mergeCell ref="B34:D34"/>
    <mergeCell ref="B35:D35"/>
    <mergeCell ref="B36:D36"/>
    <mergeCell ref="B37:D37"/>
    <mergeCell ref="B38:D38"/>
    <mergeCell ref="B39:D39"/>
    <mergeCell ref="B43:D43"/>
    <mergeCell ref="A44:D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</dc:creator>
  <cp:lastModifiedBy>Umair</cp:lastModifiedBy>
  <dcterms:created xsi:type="dcterms:W3CDTF">2019-09-03T10:37:00Z</dcterms:created>
  <dcterms:modified xsi:type="dcterms:W3CDTF">2019-09-03T17:28:33Z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</Properties>
</file>